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240" yWindow="120" windowWidth="20115" windowHeight="7995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D48" i="1"/>
  <c r="E48"/>
  <c r="F19"/>
  <c r="F20"/>
  <c r="F21"/>
  <c r="F29"/>
  <c r="E72"/>
  <c r="G72" s="1"/>
  <c r="E70"/>
  <c r="G70" s="1"/>
  <c r="E68"/>
  <c r="G68" s="1"/>
  <c r="E67"/>
  <c r="G67" s="1"/>
  <c r="E64"/>
  <c r="E65"/>
  <c r="G64"/>
  <c r="G65"/>
  <c r="F73"/>
  <c r="E63"/>
  <c r="G63" s="1"/>
  <c r="C40"/>
  <c r="C38"/>
  <c r="J28"/>
  <c r="K3"/>
  <c r="K7"/>
  <c r="K11"/>
  <c r="K31"/>
  <c r="K32"/>
  <c r="K33"/>
  <c r="K56"/>
  <c r="K48"/>
  <c r="K47"/>
  <c r="E52"/>
  <c r="F18"/>
  <c r="C29"/>
  <c r="C31"/>
  <c r="C30"/>
  <c r="C26"/>
  <c r="C27"/>
  <c r="G6" i="2"/>
  <c r="G8"/>
  <c r="G10"/>
  <c r="G15"/>
  <c r="G5"/>
  <c r="E5"/>
  <c r="E6"/>
  <c r="E8"/>
  <c r="E10"/>
  <c r="E12"/>
  <c r="G12" s="1"/>
  <c r="E13"/>
  <c r="G13" s="1"/>
  <c r="E15"/>
  <c r="D4" i="1"/>
  <c r="D11" s="1"/>
  <c r="E11" s="1"/>
  <c r="D5"/>
  <c r="D12" s="1"/>
  <c r="E12" s="1"/>
  <c r="D3"/>
  <c r="D10"/>
  <c r="E10" s="1"/>
  <c r="D47"/>
  <c r="J50"/>
  <c r="D49" s="1"/>
  <c r="J32"/>
  <c r="J33"/>
  <c r="J20"/>
  <c r="J21" s="1"/>
  <c r="G16" i="2" l="1"/>
  <c r="G73" i="1"/>
  <c r="D40"/>
  <c r="K28"/>
  <c r="K50"/>
  <c r="F22"/>
  <c r="C28" s="1"/>
  <c r="C32" s="1"/>
  <c r="E46" s="1"/>
  <c r="J35"/>
  <c r="E13"/>
  <c r="J37" l="1"/>
  <c r="K37" s="1"/>
  <c r="K35"/>
  <c r="J3"/>
  <c r="J11"/>
  <c r="J7"/>
  <c r="D38"/>
  <c r="J34" s="1"/>
  <c r="J36" l="1"/>
  <c r="K34"/>
  <c r="J14"/>
  <c r="K14" s="1"/>
  <c r="J55" l="1"/>
  <c r="E51" s="1"/>
  <c r="K36"/>
  <c r="J41"/>
  <c r="K41" l="1"/>
  <c r="E47"/>
  <c r="K55"/>
  <c r="J49"/>
  <c r="E49" s="1"/>
  <c r="J54"/>
  <c r="K54" s="1"/>
  <c r="K49" l="1"/>
  <c r="J53"/>
  <c r="J57"/>
  <c r="E50"/>
  <c r="D54" l="1"/>
  <c r="K57"/>
  <c r="E53"/>
  <c r="K53"/>
</calcChain>
</file>

<file path=xl/sharedStrings.xml><?xml version="1.0" encoding="utf-8"?>
<sst xmlns="http://schemas.openxmlformats.org/spreadsheetml/2006/main" count="207" uniqueCount="149">
  <si>
    <t>№</t>
  </si>
  <si>
    <t>Посада виконавців</t>
  </si>
  <si>
    <t>Місячний оклад, грн.</t>
  </si>
  <si>
    <t>Середньоденна ставка, грн./дні</t>
  </si>
  <si>
    <t>Доцент</t>
  </si>
  <si>
    <t>Консультант з економіки</t>
  </si>
  <si>
    <t>Студент</t>
  </si>
  <si>
    <t>Спеціальність розробника</t>
  </si>
  <si>
    <t>Час розробки, ДНІ</t>
  </si>
  <si>
    <t>Денна заробітна плата, грн.</t>
  </si>
  <si>
    <t>Витрати на розробку, грн.</t>
  </si>
  <si>
    <t>Разом</t>
  </si>
  <si>
    <t>формула 5.4</t>
  </si>
  <si>
    <t>Вф=</t>
  </si>
  <si>
    <t xml:space="preserve">Величина відрахувань </t>
  </si>
  <si>
    <t>№ п/п</t>
  </si>
  <si>
    <t>Найменування купованих виробів</t>
  </si>
  <si>
    <t>Одиниця виміру</t>
  </si>
  <si>
    <t>Ціна за одиницю виміру, грн.</t>
  </si>
  <si>
    <t>Кількість купованих виробів</t>
  </si>
  <si>
    <t>Сума, грн.</t>
  </si>
  <si>
    <t>Папір (формат А4)</t>
  </si>
  <si>
    <t>500 листів</t>
  </si>
  <si>
    <t>Зошит</t>
  </si>
  <si>
    <t>Шт.</t>
  </si>
  <si>
    <t>Диск (СD-RW)</t>
  </si>
  <si>
    <t>Всього</t>
  </si>
  <si>
    <t>1 Вихідні дані для розрахунку витрат на оплату праці</t>
  </si>
  <si>
    <t>2 Розрахунок витрат на оплату праці</t>
  </si>
  <si>
    <t>3 Розрахунок витрат на куповані вироби</t>
  </si>
  <si>
    <t>формула 5.5</t>
  </si>
  <si>
    <t>Процент</t>
  </si>
  <si>
    <t xml:space="preserve">Величину відрахувань у спеціальні державні фонди </t>
  </si>
  <si>
    <t xml:space="preserve">Накладні витрати проектних організацій </t>
  </si>
  <si>
    <t>Інші витрати</t>
  </si>
  <si>
    <t>формула 5.6</t>
  </si>
  <si>
    <t>Н=</t>
  </si>
  <si>
    <t>Ів=</t>
  </si>
  <si>
    <t>формула 5.7</t>
  </si>
  <si>
    <t xml:space="preserve">Витрати на розробку програмного забезпечення </t>
  </si>
  <si>
    <t>К=</t>
  </si>
  <si>
    <t>Витрати   на   відлагодження   і   дослідну   експлуатацію   ПЗ</t>
  </si>
  <si>
    <t>формула 5.8</t>
  </si>
  <si>
    <t>дні роботи на ЕОМ</t>
  </si>
  <si>
    <t>час роботи на ЕОМ(години)</t>
  </si>
  <si>
    <t xml:space="preserve">SMг = </t>
  </si>
  <si>
    <t>tвід=</t>
  </si>
  <si>
    <t>К2=</t>
  </si>
  <si>
    <t>Найменування елементів витрат</t>
  </si>
  <si>
    <t>Сума витрат, грн.</t>
  </si>
  <si>
    <t>Витрати на оплату праці</t>
  </si>
  <si>
    <t>Відрахування у спеціальні державні фонди</t>
  </si>
  <si>
    <t>Витрати на куповані вироби</t>
  </si>
  <si>
    <t>Накладні витрати</t>
  </si>
  <si>
    <t>Витрати на відлагодження і дослідну експлуатацію програмного забезпечення</t>
  </si>
  <si>
    <t>4 Кошторис витрат на розробку програмного забезпечення</t>
  </si>
  <si>
    <t>b=</t>
  </si>
  <si>
    <t>дні=</t>
  </si>
  <si>
    <t>год в день=</t>
  </si>
  <si>
    <t>С1=</t>
  </si>
  <si>
    <t xml:space="preserve"> місячна зарплата працівника 1-ої категорії С0=</t>
  </si>
  <si>
    <t>формула 5.15</t>
  </si>
  <si>
    <t>Час роботи співробітників, год.</t>
  </si>
  <si>
    <t>Середньогодинна заробітна плата, грн./год.</t>
  </si>
  <si>
    <t>Витрати на підготовку даних, грн.</t>
  </si>
  <si>
    <t>Проектне рішення</t>
  </si>
  <si>
    <t>Аналог</t>
  </si>
  <si>
    <t>5 Розрахунок витрат на підготовку даних для роботи на ЕОМ</t>
  </si>
  <si>
    <t>формула 5.16</t>
  </si>
  <si>
    <t>Витрати на експлуатацію ЕОМ</t>
  </si>
  <si>
    <t>Е2п=</t>
  </si>
  <si>
    <t>Е2а=</t>
  </si>
  <si>
    <t>Еп=</t>
  </si>
  <si>
    <t>Еа=</t>
  </si>
  <si>
    <t>Веп=</t>
  </si>
  <si>
    <t>Веа=</t>
  </si>
  <si>
    <t>ціна придбання проектного рішення</t>
  </si>
  <si>
    <t>формула 5.18</t>
  </si>
  <si>
    <t xml:space="preserve">теперішня вартість витрат на експлуатацію проектного рішення </t>
  </si>
  <si>
    <t>формула 5.19</t>
  </si>
  <si>
    <t>строк служби проектного рішення, років T=</t>
  </si>
  <si>
    <t>річна ставка проценту банківського R=</t>
  </si>
  <si>
    <t>Ввпрv=</t>
  </si>
  <si>
    <t>Вварv=</t>
  </si>
  <si>
    <t>Цса =</t>
  </si>
  <si>
    <t>ціна аналогу Ца=</t>
  </si>
  <si>
    <t>Цсп =</t>
  </si>
  <si>
    <t>формула 5.17</t>
  </si>
  <si>
    <t>Визначення показників економічної ефективності</t>
  </si>
  <si>
    <t>Коефіцієнт конкурентноздатності Ккз=</t>
  </si>
  <si>
    <t>Економічний ефект в сфері проектування рішення Епр=</t>
  </si>
  <si>
    <t>Річний економічний ефект в сфері експлуатації Екс=</t>
  </si>
  <si>
    <t>Інструкція</t>
  </si>
  <si>
    <t>зелені комірки - вхідні дані</t>
  </si>
  <si>
    <t>сірі комірки - не чіпати</t>
  </si>
  <si>
    <t>Додатковий економічний ефект у сфері експлуатації dЕкс=</t>
  </si>
  <si>
    <t>Сумарний ефект Е=</t>
  </si>
  <si>
    <t>Показники економічної ефективності проектного рішення</t>
  </si>
  <si>
    <t>Найменування</t>
  </si>
  <si>
    <t>Одиниці вимірювання</t>
  </si>
  <si>
    <t>Значення показників</t>
  </si>
  <si>
    <t>Базовий варіант</t>
  </si>
  <si>
    <t>Новий варіант</t>
  </si>
  <si>
    <t>Капітальні вкладення</t>
  </si>
  <si>
    <t>Грн.</t>
  </si>
  <si>
    <t>-</t>
  </si>
  <si>
    <t>Ціна придбання</t>
  </si>
  <si>
    <t>Річні експлуатаційнівитрати</t>
  </si>
  <si>
    <t>Ціна споживання</t>
  </si>
  <si>
    <t>Економічний ефект в сфері проектування</t>
  </si>
  <si>
    <t>Економічний ефект в сфері експлуатації</t>
  </si>
  <si>
    <t>Додатковий ефект в сфері експлуатації</t>
  </si>
  <si>
    <t>Коефіцієнт конкурентоздатності</t>
  </si>
  <si>
    <t>Сумарний ефект</t>
  </si>
  <si>
    <t>ціна проекного рішення Цп=</t>
  </si>
  <si>
    <t>коефіцієнт якості Кяк=</t>
  </si>
  <si>
    <t>Ручка кулькова</t>
  </si>
  <si>
    <t>Назва показника</t>
  </si>
  <si>
    <t>Один. виміру</t>
  </si>
  <si>
    <t>Числове значення</t>
  </si>
  <si>
    <t>Частковий показник рівня якості</t>
  </si>
  <si>
    <t>Коефіцієнт вагомості показника вагомості</t>
  </si>
  <si>
    <t>Показник вагомості</t>
  </si>
  <si>
    <t>проектне рішення</t>
  </si>
  <si>
    <t>аналог</t>
  </si>
  <si>
    <t>1. Показники призначення</t>
  </si>
  <si>
    <t>1.1. Час проектування</t>
  </si>
  <si>
    <t>год</t>
  </si>
  <si>
    <t>1.2. Об'єм дискового простору</t>
  </si>
  <si>
    <t>Мб</t>
  </si>
  <si>
    <t>2. Показники надійності</t>
  </si>
  <si>
    <t>2.1. Стійкість програми до некоректних дій користувача</t>
  </si>
  <si>
    <t>%</t>
  </si>
  <si>
    <t>3. Ергономічні показники</t>
  </si>
  <si>
    <t>3.1. Зручність інтерфейсу</t>
  </si>
  <si>
    <t>бали</t>
  </si>
  <si>
    <t>4. Естетичні показники</t>
  </si>
  <si>
    <t>4.1. Раціональність форми</t>
  </si>
  <si>
    <t>4.2. Товарний вигляд</t>
  </si>
  <si>
    <t>5. Показники технологічності</t>
  </si>
  <si>
    <t>5.1. Застосування сучасних  технологій</t>
  </si>
  <si>
    <t>Підсумок</t>
  </si>
  <si>
    <t xml:space="preserve"> - </t>
  </si>
  <si>
    <t>200$</t>
  </si>
  <si>
    <t>Сума повинна бути 1</t>
  </si>
  <si>
    <t>2.2 Забеззпечення безпеки даних</t>
  </si>
  <si>
    <t>1.3 Використання батареї</t>
  </si>
  <si>
    <t>Показник</t>
  </si>
  <si>
    <t>якості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</si>
</sst>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6" xfId="0" applyFill="1" applyBorder="1"/>
    <xf numFmtId="0" fontId="0" fillId="2" borderId="12" xfId="0" applyFill="1" applyBorder="1"/>
    <xf numFmtId="16" fontId="0" fillId="0" borderId="2" xfId="0" applyNumberFormat="1" applyBorder="1"/>
    <xf numFmtId="0" fontId="0" fillId="0" borderId="8" xfId="0" applyBorder="1" applyAlignment="1">
      <alignment horizontal="right"/>
    </xf>
    <xf numFmtId="0" fontId="0" fillId="2" borderId="9" xfId="0" applyFill="1" applyBorder="1"/>
    <xf numFmtId="0" fontId="0" fillId="2" borderId="0" xfId="0" applyFill="1" applyBorder="1"/>
    <xf numFmtId="0" fontId="0" fillId="2" borderId="15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" xfId="0" applyFill="1" applyBorder="1"/>
    <xf numFmtId="0" fontId="0" fillId="0" borderId="0" xfId="0" applyFill="1" applyBorder="1"/>
    <xf numFmtId="16" fontId="0" fillId="0" borderId="10" xfId="0" applyNumberFormat="1" applyBorder="1"/>
    <xf numFmtId="0" fontId="0" fillId="3" borderId="0" xfId="0" applyFill="1" applyBorder="1"/>
    <xf numFmtId="0" fontId="0" fillId="3" borderId="6" xfId="0" applyFill="1" applyBorder="1"/>
    <xf numFmtId="0" fontId="0" fillId="3" borderId="8" xfId="0" applyFill="1" applyBorder="1"/>
    <xf numFmtId="16" fontId="0" fillId="0" borderId="1" xfId="0" applyNumberFormat="1" applyBorder="1"/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3" borderId="4" xfId="0" applyFill="1" applyBorder="1"/>
    <xf numFmtId="0" fontId="0" fillId="3" borderId="1" xfId="0" applyFill="1" applyBorder="1"/>
    <xf numFmtId="16" fontId="0" fillId="0" borderId="5" xfId="0" applyNumberFormat="1" applyBorder="1"/>
    <xf numFmtId="0" fontId="0" fillId="3" borderId="15" xfId="0" applyFill="1" applyBorder="1"/>
    <xf numFmtId="0" fontId="0" fillId="3" borderId="13" xfId="0" applyFill="1" applyBorder="1"/>
    <xf numFmtId="2" fontId="0" fillId="3" borderId="14" xfId="0" applyNumberFormat="1" applyFill="1" applyBorder="1"/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3" borderId="6" xfId="0" applyNumberFormat="1" applyFill="1" applyBorder="1"/>
    <xf numFmtId="0" fontId="0" fillId="3" borderId="9" xfId="0" applyNumberFormat="1" applyFill="1" applyBorder="1"/>
    <xf numFmtId="0" fontId="0" fillId="2" borderId="8" xfId="0" applyFill="1" applyBorder="1"/>
    <xf numFmtId="0" fontId="0" fillId="0" borderId="8" xfId="0" applyFill="1" applyBorder="1" applyAlignment="1">
      <alignment horizontal="right"/>
    </xf>
    <xf numFmtId="0" fontId="0" fillId="0" borderId="11" xfId="0" applyBorder="1" applyAlignment="1">
      <alignment horizontal="right"/>
    </xf>
    <xf numFmtId="16" fontId="0" fillId="0" borderId="7" xfId="0" applyNumberFormat="1" applyBorder="1"/>
    <xf numFmtId="0" fontId="0" fillId="4" borderId="0" xfId="0" applyFill="1"/>
    <xf numFmtId="0" fontId="0" fillId="4" borderId="0" xfId="0" applyFill="1" applyBorder="1"/>
    <xf numFmtId="0" fontId="1" fillId="2" borderId="13" xfId="0" applyFont="1" applyFill="1" applyBorder="1"/>
    <xf numFmtId="0" fontId="0" fillId="0" borderId="6" xfId="0" applyBorder="1"/>
    <xf numFmtId="0" fontId="0" fillId="0" borderId="9" xfId="0" applyBorder="1"/>
    <xf numFmtId="0" fontId="0" fillId="0" borderId="0" xfId="0" applyAlignment="1">
      <alignment horizontal="right"/>
    </xf>
    <xf numFmtId="0" fontId="0" fillId="3" borderId="0" xfId="0" applyFill="1"/>
    <xf numFmtId="0" fontId="1" fillId="2" borderId="14" xfId="0" applyFont="1" applyFill="1" applyBorder="1" applyAlignment="1">
      <alignment horizontal="right"/>
    </xf>
    <xf numFmtId="0" fontId="1" fillId="2" borderId="15" xfId="0" applyFont="1" applyFill="1" applyBorder="1"/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0" fillId="0" borderId="2" xfId="0" applyBorder="1" applyAlignment="1"/>
    <xf numFmtId="0" fontId="0" fillId="0" borderId="4" xfId="0" applyBorder="1" applyAlignment="1"/>
    <xf numFmtId="0" fontId="0" fillId="0" borderId="10" xfId="0" applyBorder="1" applyAlignment="1"/>
    <xf numFmtId="0" fontId="0" fillId="0" borderId="1" xfId="0" applyBorder="1" applyAlignment="1"/>
    <xf numFmtId="0" fontId="0" fillId="2" borderId="4" xfId="0" applyFill="1" applyBorder="1"/>
    <xf numFmtId="0" fontId="0" fillId="3" borderId="1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7" xfId="0" applyFill="1" applyBorder="1"/>
    <xf numFmtId="0" fontId="0" fillId="3" borderId="5" xfId="0" applyFill="1" applyBorder="1"/>
    <xf numFmtId="0" fontId="0" fillId="0" borderId="4" xfId="0" applyBorder="1" applyAlignment="1">
      <alignment horizontal="left"/>
    </xf>
    <xf numFmtId="0" fontId="0" fillId="0" borderId="5" xfId="0" applyFill="1" applyBorder="1"/>
    <xf numFmtId="0" fontId="0" fillId="0" borderId="13" xfId="0" applyFill="1" applyBorder="1"/>
    <xf numFmtId="0" fontId="0" fillId="0" borderId="8" xfId="0" applyFill="1" applyBorder="1"/>
    <xf numFmtId="0" fontId="0" fillId="0" borderId="14" xfId="0" applyFill="1" applyBorder="1"/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2" borderId="3" xfId="0" applyFill="1" applyBorder="1"/>
    <xf numFmtId="0" fontId="0" fillId="3" borderId="14" xfId="0" applyFill="1" applyBorder="1"/>
    <xf numFmtId="0" fontId="0" fillId="0" borderId="8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K74"/>
  <sheetViews>
    <sheetView tabSelected="1" topLeftCell="A22" zoomScale="70" zoomScaleNormal="70" workbookViewId="0">
      <selection activeCell="E34" sqref="E34"/>
    </sheetView>
  </sheetViews>
  <sheetFormatPr defaultRowHeight="15"/>
  <cols>
    <col min="1" max="1" width="28.140625" customWidth="1"/>
    <col min="2" max="2" width="42.5703125" customWidth="1"/>
    <col min="3" max="3" width="17" customWidth="1"/>
    <col min="4" max="4" width="31.140625" customWidth="1"/>
    <col min="5" max="5" width="25.7109375" customWidth="1"/>
    <col min="6" max="6" width="26.140625" customWidth="1"/>
    <col min="7" max="7" width="12.85546875" customWidth="1"/>
    <col min="8" max="8" width="12.7109375" customWidth="1"/>
    <col min="9" max="9" width="53.85546875" customWidth="1"/>
    <col min="10" max="10" width="11" customWidth="1"/>
    <col min="12" max="12" width="9.5703125" customWidth="1"/>
  </cols>
  <sheetData>
    <row r="1" spans="1:11">
      <c r="A1" t="s">
        <v>27</v>
      </c>
      <c r="F1" s="49" t="s">
        <v>92</v>
      </c>
      <c r="H1" s="8" t="s">
        <v>32</v>
      </c>
      <c r="I1" s="9"/>
      <c r="J1" s="10"/>
    </row>
    <row r="2" spans="1:11">
      <c r="A2" s="11" t="s">
        <v>0</v>
      </c>
      <c r="B2" s="9" t="s">
        <v>1</v>
      </c>
      <c r="C2" s="9" t="s">
        <v>2</v>
      </c>
      <c r="D2" s="10" t="s">
        <v>3</v>
      </c>
      <c r="F2" s="50" t="s">
        <v>93</v>
      </c>
      <c r="H2" s="26" t="s">
        <v>12</v>
      </c>
      <c r="I2" s="9" t="s">
        <v>14</v>
      </c>
      <c r="J2" s="35">
        <v>36.200000000000003</v>
      </c>
    </row>
    <row r="3" spans="1:11">
      <c r="A3" s="12">
        <v>1</v>
      </c>
      <c r="B3" s="5" t="s">
        <v>4</v>
      </c>
      <c r="C3" s="27">
        <v>3000</v>
      </c>
      <c r="D3" s="28">
        <f>MROUND(C3/22,0.01)</f>
        <v>136.36000000000001</v>
      </c>
      <c r="F3" s="49" t="s">
        <v>94</v>
      </c>
      <c r="H3" s="6"/>
      <c r="I3" s="18" t="s">
        <v>13</v>
      </c>
      <c r="J3" s="23">
        <f>J2/100*E13</f>
        <v>1925.0725600000005</v>
      </c>
      <c r="K3">
        <f t="shared" ref="K2:K46" si="0">MROUND(J3,0.01)</f>
        <v>1925.07</v>
      </c>
    </row>
    <row r="4" spans="1:11">
      <c r="A4" s="12">
        <v>2</v>
      </c>
      <c r="B4" s="5" t="s">
        <v>5</v>
      </c>
      <c r="C4" s="27">
        <v>2500</v>
      </c>
      <c r="D4" s="28">
        <f t="shared" ref="D4" si="1">MROUND(C4/22,0.01)</f>
        <v>113.64</v>
      </c>
      <c r="F4">
        <v>0</v>
      </c>
    </row>
    <row r="5" spans="1:11">
      <c r="A5" s="13">
        <v>4</v>
      </c>
      <c r="B5" s="7" t="s">
        <v>6</v>
      </c>
      <c r="C5" s="29">
        <v>800</v>
      </c>
      <c r="D5" s="28">
        <f>MROUND(C5/22,0.01)</f>
        <v>36.36</v>
      </c>
      <c r="H5" s="8" t="s">
        <v>33</v>
      </c>
      <c r="I5" s="9"/>
      <c r="J5" s="10"/>
    </row>
    <row r="6" spans="1:11">
      <c r="H6" s="26" t="s">
        <v>30</v>
      </c>
      <c r="I6" s="9" t="s">
        <v>31</v>
      </c>
      <c r="J6" s="35">
        <v>30</v>
      </c>
    </row>
    <row r="7" spans="1:11">
      <c r="A7" s="5"/>
      <c r="B7" s="5"/>
      <c r="C7" s="5"/>
      <c r="D7" s="5"/>
      <c r="H7" s="6"/>
      <c r="I7" s="18" t="s">
        <v>36</v>
      </c>
      <c r="J7" s="23">
        <f>J6/100*E13</f>
        <v>1595.3640000000003</v>
      </c>
      <c r="K7">
        <f t="shared" si="0"/>
        <v>1595.3600000000001</v>
      </c>
    </row>
    <row r="8" spans="1:11">
      <c r="A8" t="s">
        <v>28</v>
      </c>
      <c r="C8" s="25"/>
    </row>
    <row r="9" spans="1:11">
      <c r="A9" s="11" t="s">
        <v>0</v>
      </c>
      <c r="B9" s="9" t="s">
        <v>7</v>
      </c>
      <c r="C9" s="9" t="s">
        <v>8</v>
      </c>
      <c r="D9" s="9" t="s">
        <v>9</v>
      </c>
      <c r="E9" s="10" t="s">
        <v>10</v>
      </c>
      <c r="H9" s="8" t="s">
        <v>34</v>
      </c>
      <c r="I9" s="9"/>
      <c r="J9" s="10"/>
    </row>
    <row r="10" spans="1:11">
      <c r="A10" s="12">
        <v>1</v>
      </c>
      <c r="B10" s="5" t="s">
        <v>4</v>
      </c>
      <c r="C10" s="27">
        <v>20</v>
      </c>
      <c r="D10" s="20">
        <f>D3</f>
        <v>136.36000000000001</v>
      </c>
      <c r="E10" s="21">
        <f>C10*D10</f>
        <v>2727.2000000000003</v>
      </c>
      <c r="H10" s="26" t="s">
        <v>35</v>
      </c>
      <c r="I10" s="9" t="s">
        <v>31</v>
      </c>
      <c r="J10" s="35">
        <v>10</v>
      </c>
    </row>
    <row r="11" spans="1:11">
      <c r="A11" s="12">
        <v>2</v>
      </c>
      <c r="B11" s="5" t="s">
        <v>5</v>
      </c>
      <c r="C11" s="27">
        <v>2</v>
      </c>
      <c r="D11" s="20">
        <f>D4</f>
        <v>113.64</v>
      </c>
      <c r="E11" s="22">
        <f t="shared" ref="E11" si="2">C11*D11</f>
        <v>227.28</v>
      </c>
      <c r="H11" s="6"/>
      <c r="I11" s="18" t="s">
        <v>37</v>
      </c>
      <c r="J11" s="23">
        <f>J10/100*E13</f>
        <v>531.78800000000012</v>
      </c>
      <c r="K11">
        <f t="shared" si="0"/>
        <v>531.79</v>
      </c>
    </row>
    <row r="12" spans="1:11">
      <c r="A12" s="12">
        <v>4</v>
      </c>
      <c r="B12" s="5" t="s">
        <v>6</v>
      </c>
      <c r="C12" s="27">
        <v>65</v>
      </c>
      <c r="D12" s="20">
        <f>D5</f>
        <v>36.36</v>
      </c>
      <c r="E12" s="23">
        <f>C12*D12</f>
        <v>2363.4</v>
      </c>
    </row>
    <row r="13" spans="1:11">
      <c r="A13" s="11"/>
      <c r="B13" s="9" t="s">
        <v>11</v>
      </c>
      <c r="C13" s="9"/>
      <c r="D13" s="9"/>
      <c r="E13" s="24">
        <f>SUM(E10:E12)</f>
        <v>5317.880000000001</v>
      </c>
      <c r="H13" s="8" t="s">
        <v>39</v>
      </c>
      <c r="I13" s="9"/>
      <c r="J13" s="10"/>
    </row>
    <row r="14" spans="1:11">
      <c r="H14" s="30" t="s">
        <v>38</v>
      </c>
      <c r="I14" s="18" t="s">
        <v>40</v>
      </c>
      <c r="J14" s="24">
        <f>E13+J3+J7+J11+F22</f>
        <v>9432.6745600000013</v>
      </c>
      <c r="K14">
        <f t="shared" si="0"/>
        <v>9432.67</v>
      </c>
    </row>
    <row r="15" spans="1:11">
      <c r="H15" s="5"/>
    </row>
    <row r="16" spans="1:11">
      <c r="A16" t="s">
        <v>29</v>
      </c>
      <c r="H16" s="8" t="s">
        <v>41</v>
      </c>
      <c r="I16" s="9"/>
      <c r="J16" s="10"/>
    </row>
    <row r="17" spans="1:11">
      <c r="A17" s="8" t="s">
        <v>15</v>
      </c>
      <c r="B17" s="9" t="s">
        <v>16</v>
      </c>
      <c r="C17" s="9" t="s">
        <v>17</v>
      </c>
      <c r="D17" s="9" t="s">
        <v>18</v>
      </c>
      <c r="E17" s="9" t="s">
        <v>19</v>
      </c>
      <c r="F17" s="10" t="s">
        <v>20</v>
      </c>
      <c r="H17" s="17" t="s">
        <v>42</v>
      </c>
      <c r="I17" s="33" t="s">
        <v>43</v>
      </c>
      <c r="J17" s="37">
        <v>65</v>
      </c>
    </row>
    <row r="18" spans="1:11">
      <c r="A18" s="14">
        <v>1</v>
      </c>
      <c r="B18" s="5" t="s">
        <v>21</v>
      </c>
      <c r="C18" s="5" t="s">
        <v>22</v>
      </c>
      <c r="D18" s="60">
        <v>46.18</v>
      </c>
      <c r="E18" s="27">
        <v>1</v>
      </c>
      <c r="F18" s="21">
        <f>MROUND(D18*E18 * 1.1,0.01)</f>
        <v>50.800000000000004</v>
      </c>
      <c r="H18" s="4"/>
      <c r="I18" s="32" t="s">
        <v>44</v>
      </c>
      <c r="J18" s="38">
        <v>2</v>
      </c>
    </row>
    <row r="19" spans="1:11">
      <c r="A19" s="12">
        <v>2</v>
      </c>
      <c r="B19" s="5" t="s">
        <v>23</v>
      </c>
      <c r="C19" s="5" t="s">
        <v>24</v>
      </c>
      <c r="D19" s="27">
        <v>2.7</v>
      </c>
      <c r="E19" s="27">
        <v>1</v>
      </c>
      <c r="F19" s="22">
        <f t="shared" ref="F19:F21" si="3">MROUND(D19*E19 * 1.1,0.01)</f>
        <v>2.97</v>
      </c>
      <c r="H19" s="6"/>
      <c r="I19" s="18" t="s">
        <v>45</v>
      </c>
      <c r="J19" s="39">
        <v>4.5</v>
      </c>
    </row>
    <row r="20" spans="1:11">
      <c r="A20" s="12">
        <v>3</v>
      </c>
      <c r="B20" s="5" t="s">
        <v>25</v>
      </c>
      <c r="C20" s="5" t="s">
        <v>24</v>
      </c>
      <c r="D20" s="27">
        <v>2.5</v>
      </c>
      <c r="E20" s="27">
        <v>2</v>
      </c>
      <c r="F20" s="22">
        <f t="shared" si="3"/>
        <v>5.5</v>
      </c>
      <c r="H20" s="4"/>
      <c r="I20" s="31" t="s">
        <v>46</v>
      </c>
      <c r="J20" s="22">
        <f>J18*J17</f>
        <v>130</v>
      </c>
    </row>
    <row r="21" spans="1:11">
      <c r="A21" s="12">
        <v>3</v>
      </c>
      <c r="B21" s="25" t="s">
        <v>116</v>
      </c>
      <c r="C21" s="25" t="s">
        <v>24</v>
      </c>
      <c r="D21" s="27">
        <v>3</v>
      </c>
      <c r="E21" s="27">
        <v>1</v>
      </c>
      <c r="F21" s="22">
        <f t="shared" si="3"/>
        <v>3.3000000000000003</v>
      </c>
      <c r="H21" s="6"/>
      <c r="I21" s="18" t="s">
        <v>47</v>
      </c>
      <c r="J21" s="23">
        <f>J19*J20</f>
        <v>585</v>
      </c>
    </row>
    <row r="22" spans="1:11">
      <c r="A22" s="11" t="s">
        <v>26</v>
      </c>
      <c r="B22" s="9"/>
      <c r="C22" s="9"/>
      <c r="D22" s="9"/>
      <c r="E22" s="9"/>
      <c r="F22" s="24">
        <f>SUM(F18:F21)</f>
        <v>62.57</v>
      </c>
    </row>
    <row r="23" spans="1:11">
      <c r="H23" s="8" t="s">
        <v>41</v>
      </c>
      <c r="I23" s="9"/>
      <c r="J23" s="10"/>
    </row>
    <row r="24" spans="1:11">
      <c r="A24" t="s">
        <v>55</v>
      </c>
      <c r="H24" s="17" t="s">
        <v>61</v>
      </c>
      <c r="I24" s="40" t="s">
        <v>60</v>
      </c>
      <c r="J24" s="34">
        <v>2500</v>
      </c>
    </row>
    <row r="25" spans="1:11">
      <c r="A25" s="11" t="s">
        <v>0</v>
      </c>
      <c r="B25" s="9" t="s">
        <v>48</v>
      </c>
      <c r="C25" s="10" t="s">
        <v>49</v>
      </c>
      <c r="H25" s="4"/>
      <c r="I25" s="41" t="s">
        <v>56</v>
      </c>
      <c r="J25" s="28">
        <v>0.56999999999999995</v>
      </c>
    </row>
    <row r="26" spans="1:11">
      <c r="A26" s="12">
        <v>1</v>
      </c>
      <c r="B26" s="5" t="s">
        <v>50</v>
      </c>
      <c r="C26" s="15">
        <f>MROUND(E13,0.01)</f>
        <v>5317.88</v>
      </c>
      <c r="H26" s="4"/>
      <c r="I26" s="41" t="s">
        <v>57</v>
      </c>
      <c r="J26" s="43">
        <v>22</v>
      </c>
    </row>
    <row r="27" spans="1:11">
      <c r="A27" s="12">
        <v>2</v>
      </c>
      <c r="B27" s="5" t="s">
        <v>51</v>
      </c>
      <c r="C27" s="15">
        <f>MROUND(J3,0.01)</f>
        <v>1925.07</v>
      </c>
      <c r="H27" s="6"/>
      <c r="I27" s="42" t="s">
        <v>58</v>
      </c>
      <c r="J27" s="44">
        <v>8</v>
      </c>
    </row>
    <row r="28" spans="1:11">
      <c r="A28" s="12">
        <v>3</v>
      </c>
      <c r="B28" s="5" t="s">
        <v>52</v>
      </c>
      <c r="C28" s="15">
        <f>MROUND(F22,0.01)</f>
        <v>62.57</v>
      </c>
      <c r="H28" s="6"/>
      <c r="I28" s="18" t="s">
        <v>59</v>
      </c>
      <c r="J28" s="23">
        <f>(J24*(1 + J25))/(J26*J27)</f>
        <v>22.30113636363636</v>
      </c>
      <c r="K28">
        <f t="shared" si="0"/>
        <v>22.3</v>
      </c>
    </row>
    <row r="29" spans="1:11">
      <c r="A29" s="12">
        <v>4</v>
      </c>
      <c r="B29" s="5" t="s">
        <v>53</v>
      </c>
      <c r="C29" s="15">
        <f>MROUND(J7,0.01)</f>
        <v>1595.3600000000001</v>
      </c>
      <c r="E29" s="54" t="s">
        <v>115</v>
      </c>
      <c r="F29" s="55">
        <f>G73</f>
        <v>1.6099999999999999</v>
      </c>
    </row>
    <row r="30" spans="1:11">
      <c r="A30" s="12">
        <v>5</v>
      </c>
      <c r="B30" s="5" t="s">
        <v>34</v>
      </c>
      <c r="C30" s="15">
        <f>MROUND(J11,0.01)</f>
        <v>531.79</v>
      </c>
      <c r="H30" s="8" t="s">
        <v>69</v>
      </c>
      <c r="I30" s="9"/>
      <c r="J30" s="10"/>
    </row>
    <row r="31" spans="1:11">
      <c r="A31" s="12">
        <v>6</v>
      </c>
      <c r="B31" s="5" t="s">
        <v>54</v>
      </c>
      <c r="C31" s="15">
        <f>MROUND(J21,0.01)</f>
        <v>585</v>
      </c>
      <c r="H31" s="17" t="s">
        <v>68</v>
      </c>
      <c r="I31" s="41" t="s">
        <v>57</v>
      </c>
      <c r="J31" s="43">
        <v>252</v>
      </c>
      <c r="K31">
        <f t="shared" si="0"/>
        <v>252</v>
      </c>
    </row>
    <row r="32" spans="1:11">
      <c r="A32" s="11"/>
      <c r="B32" s="9" t="s">
        <v>26</v>
      </c>
      <c r="C32" s="16">
        <f>SUM(C26:C31)</f>
        <v>10017.669999999998</v>
      </c>
      <c r="H32" s="1"/>
      <c r="I32" s="33" t="s">
        <v>70</v>
      </c>
      <c r="J32" s="21">
        <f>B38*J19</f>
        <v>4.5</v>
      </c>
      <c r="K32">
        <f t="shared" si="0"/>
        <v>4.5</v>
      </c>
    </row>
    <row r="33" spans="1:11">
      <c r="H33" s="4"/>
      <c r="I33" s="31" t="s">
        <v>71</v>
      </c>
      <c r="J33" s="22">
        <f>B40*J19</f>
        <v>6.75</v>
      </c>
      <c r="K33">
        <f t="shared" si="0"/>
        <v>6.75</v>
      </c>
    </row>
    <row r="34" spans="1:11">
      <c r="H34" s="4"/>
      <c r="I34" s="31" t="s">
        <v>72</v>
      </c>
      <c r="J34" s="22">
        <f>D38+J32</f>
        <v>26.8</v>
      </c>
      <c r="K34">
        <f t="shared" si="0"/>
        <v>26.8</v>
      </c>
    </row>
    <row r="35" spans="1:11">
      <c r="A35" t="s">
        <v>67</v>
      </c>
      <c r="H35" s="4"/>
      <c r="I35" s="31" t="s">
        <v>73</v>
      </c>
      <c r="J35" s="22">
        <f>D40+J33</f>
        <v>40.200000000000003</v>
      </c>
      <c r="K35">
        <f t="shared" si="0"/>
        <v>40.200000000000003</v>
      </c>
    </row>
    <row r="36" spans="1:11">
      <c r="A36" s="11" t="s">
        <v>0</v>
      </c>
      <c r="B36" s="9" t="s">
        <v>62</v>
      </c>
      <c r="C36" s="9" t="s">
        <v>63</v>
      </c>
      <c r="D36" s="10" t="s">
        <v>64</v>
      </c>
      <c r="E36" s="25"/>
      <c r="H36" s="4"/>
      <c r="I36" s="31" t="s">
        <v>74</v>
      </c>
      <c r="J36" s="22">
        <f>J34*$J$31</f>
        <v>6753.6</v>
      </c>
      <c r="K36">
        <f t="shared" si="0"/>
        <v>6753.6</v>
      </c>
    </row>
    <row r="37" spans="1:11">
      <c r="A37" s="12"/>
      <c r="B37" s="8" t="s">
        <v>65</v>
      </c>
      <c r="C37" s="9"/>
      <c r="D37" s="10"/>
      <c r="H37" s="6"/>
      <c r="I37" s="46" t="s">
        <v>75</v>
      </c>
      <c r="J37" s="23">
        <f>J35*$J$31</f>
        <v>10130.400000000001</v>
      </c>
      <c r="K37">
        <f t="shared" si="0"/>
        <v>10130.4</v>
      </c>
    </row>
    <row r="38" spans="1:11">
      <c r="A38" s="12">
        <v>1</v>
      </c>
      <c r="B38" s="27">
        <v>1</v>
      </c>
      <c r="C38" s="20">
        <f>MROUND(J28,0.01)</f>
        <v>22.3</v>
      </c>
      <c r="D38" s="15">
        <f>B38*C38</f>
        <v>22.3</v>
      </c>
    </row>
    <row r="39" spans="1:11">
      <c r="A39" s="12"/>
      <c r="B39" s="8" t="s">
        <v>66</v>
      </c>
      <c r="C39" s="9"/>
      <c r="D39" s="10"/>
      <c r="H39" s="8" t="s">
        <v>76</v>
      </c>
      <c r="I39" s="9"/>
      <c r="J39" s="10"/>
    </row>
    <row r="40" spans="1:11">
      <c r="A40" s="13">
        <v>1</v>
      </c>
      <c r="B40" s="29">
        <v>1.5</v>
      </c>
      <c r="C40" s="45">
        <f>MROUND(J28,0.01)</f>
        <v>22.3</v>
      </c>
      <c r="D40" s="19">
        <f>B40*C40</f>
        <v>33.450000000000003</v>
      </c>
      <c r="H40" s="26" t="s">
        <v>77</v>
      </c>
      <c r="I40" s="9" t="s">
        <v>31</v>
      </c>
      <c r="J40" s="35">
        <v>25</v>
      </c>
    </row>
    <row r="41" spans="1:11">
      <c r="H41" s="4"/>
      <c r="I41" s="32" t="s">
        <v>114</v>
      </c>
      <c r="J41" s="22">
        <f>C32*(1+J40/100)</f>
        <v>12522.087499999998</v>
      </c>
      <c r="K41">
        <f t="shared" si="0"/>
        <v>12522.09</v>
      </c>
    </row>
    <row r="42" spans="1:11">
      <c r="H42" s="8"/>
      <c r="I42" s="47" t="s">
        <v>85</v>
      </c>
      <c r="J42" s="35">
        <v>3082.48</v>
      </c>
      <c r="K42" t="s">
        <v>143</v>
      </c>
    </row>
    <row r="43" spans="1:11">
      <c r="A43" t="s">
        <v>97</v>
      </c>
    </row>
    <row r="44" spans="1:11" ht="17.25" customHeight="1">
      <c r="A44" s="8" t="s">
        <v>0</v>
      </c>
      <c r="B44" s="9" t="s">
        <v>98</v>
      </c>
      <c r="C44" s="9" t="s">
        <v>99</v>
      </c>
      <c r="D44" s="9" t="s">
        <v>100</v>
      </c>
      <c r="E44" s="10"/>
      <c r="H44" s="1" t="s">
        <v>78</v>
      </c>
      <c r="I44" s="2"/>
      <c r="J44" s="3"/>
    </row>
    <row r="45" spans="1:11">
      <c r="A45" s="8"/>
      <c r="B45" s="9"/>
      <c r="C45" s="10"/>
      <c r="D45" s="7" t="s">
        <v>101</v>
      </c>
      <c r="E45" s="53" t="s">
        <v>102</v>
      </c>
      <c r="H45" s="17" t="s">
        <v>79</v>
      </c>
      <c r="I45" s="33" t="s">
        <v>81</v>
      </c>
      <c r="J45" s="37">
        <v>25</v>
      </c>
    </row>
    <row r="46" spans="1:11">
      <c r="A46" s="4">
        <v>1</v>
      </c>
      <c r="B46" s="14" t="s">
        <v>103</v>
      </c>
      <c r="C46" s="52" t="s">
        <v>104</v>
      </c>
      <c r="D46" s="14" t="s">
        <v>105</v>
      </c>
      <c r="E46" s="21">
        <f>MROUND(C32,0.01)</f>
        <v>10017.67</v>
      </c>
      <c r="H46" s="36"/>
      <c r="I46" s="32" t="s">
        <v>80</v>
      </c>
      <c r="J46" s="38">
        <v>3</v>
      </c>
    </row>
    <row r="47" spans="1:11">
      <c r="A47" s="4">
        <v>2</v>
      </c>
      <c r="B47" s="12" t="s">
        <v>106</v>
      </c>
      <c r="C47" s="52" t="s">
        <v>104</v>
      </c>
      <c r="D47" s="22">
        <f>J42</f>
        <v>3082.48</v>
      </c>
      <c r="E47" s="22">
        <f>MROUND(J41,0.01)</f>
        <v>12522.09</v>
      </c>
      <c r="H47" s="17" t="s">
        <v>79</v>
      </c>
      <c r="I47" s="33" t="s">
        <v>82</v>
      </c>
      <c r="J47" s="21">
        <v>13183.0272</v>
      </c>
      <c r="K47">
        <f>MROUND(J47,0.01)</f>
        <v>13183.03</v>
      </c>
    </row>
    <row r="48" spans="1:11">
      <c r="A48" s="4">
        <v>3</v>
      </c>
      <c r="B48" s="12" t="s">
        <v>107</v>
      </c>
      <c r="C48" s="52" t="s">
        <v>104</v>
      </c>
      <c r="D48" s="22">
        <f>MROUND(J47,0.01)</f>
        <v>13183.03</v>
      </c>
      <c r="E48" s="22">
        <f>MROUND(J48,0.01)</f>
        <v>19774.54</v>
      </c>
      <c r="H48" s="36" t="s">
        <v>79</v>
      </c>
      <c r="I48" s="32" t="s">
        <v>83</v>
      </c>
      <c r="J48" s="22">
        <v>19774.540800000002</v>
      </c>
      <c r="K48">
        <f t="shared" ref="K48:K57" si="4">MROUND(J48,0.01)</f>
        <v>19774.54</v>
      </c>
    </row>
    <row r="49" spans="1:11">
      <c r="A49" s="4">
        <v>4</v>
      </c>
      <c r="B49" s="12" t="s">
        <v>108</v>
      </c>
      <c r="C49" s="52" t="s">
        <v>104</v>
      </c>
      <c r="D49" s="22">
        <f>MROUND(J50,0.01)</f>
        <v>22857.02</v>
      </c>
      <c r="E49" s="22">
        <f>MROUND(J49,0.01)</f>
        <v>25705.11</v>
      </c>
      <c r="H49" s="36" t="s">
        <v>87</v>
      </c>
      <c r="I49" s="32" t="s">
        <v>86</v>
      </c>
      <c r="J49" s="22">
        <f>J47+J41</f>
        <v>25705.114699999998</v>
      </c>
      <c r="K49">
        <f t="shared" si="4"/>
        <v>25705.11</v>
      </c>
    </row>
    <row r="50" spans="1:11">
      <c r="A50" s="4">
        <v>5</v>
      </c>
      <c r="B50" s="12" t="s">
        <v>109</v>
      </c>
      <c r="C50" s="52" t="s">
        <v>104</v>
      </c>
      <c r="D50" s="12" t="s">
        <v>105</v>
      </c>
      <c r="E50" s="22">
        <f>J54</f>
        <v>-9439.6074999999983</v>
      </c>
      <c r="H50" s="48" t="s">
        <v>87</v>
      </c>
      <c r="I50" s="18" t="s">
        <v>84</v>
      </c>
      <c r="J50" s="23">
        <f>J42+J48</f>
        <v>22857.020800000002</v>
      </c>
      <c r="K50">
        <f t="shared" si="4"/>
        <v>22857.02</v>
      </c>
    </row>
    <row r="51" spans="1:11">
      <c r="A51" s="4">
        <v>6</v>
      </c>
      <c r="B51" s="12" t="s">
        <v>110</v>
      </c>
      <c r="C51" s="52" t="s">
        <v>104</v>
      </c>
      <c r="D51" s="12" t="s">
        <v>105</v>
      </c>
      <c r="E51" s="22">
        <f>MROUND(J55,0.01)</f>
        <v>3376.8</v>
      </c>
    </row>
    <row r="52" spans="1:11">
      <c r="A52" s="4">
        <v>7</v>
      </c>
      <c r="B52" s="12" t="s">
        <v>111</v>
      </c>
      <c r="C52" s="52" t="s">
        <v>104</v>
      </c>
      <c r="D52" s="12" t="s">
        <v>105</v>
      </c>
      <c r="E52" s="22">
        <f>MROUND(J56,0.01)</f>
        <v>16092.56</v>
      </c>
      <c r="H52" s="1" t="s">
        <v>88</v>
      </c>
      <c r="I52" s="2"/>
      <c r="J52" s="3"/>
    </row>
    <row r="53" spans="1:11">
      <c r="A53" s="4">
        <v>8</v>
      </c>
      <c r="B53" s="12" t="s">
        <v>112</v>
      </c>
      <c r="C53" s="52" t="s">
        <v>104</v>
      </c>
      <c r="D53" s="13" t="s">
        <v>105</v>
      </c>
      <c r="E53" s="56">
        <f>MROUND(J53,0.01)</f>
        <v>1.43</v>
      </c>
      <c r="H53" s="17"/>
      <c r="I53" s="33" t="s">
        <v>89</v>
      </c>
      <c r="J53" s="57">
        <f>F29*J50/J49</f>
        <v>1.4316140549258083</v>
      </c>
      <c r="K53">
        <f t="shared" si="4"/>
        <v>1.43</v>
      </c>
    </row>
    <row r="54" spans="1:11">
      <c r="A54" s="6">
        <v>9</v>
      </c>
      <c r="B54" s="13" t="s">
        <v>113</v>
      </c>
      <c r="C54" s="53" t="s">
        <v>104</v>
      </c>
      <c r="D54" s="58">
        <f>MROUND(J57,0.01)</f>
        <v>6652.96</v>
      </c>
      <c r="E54" s="59"/>
      <c r="H54" s="4"/>
      <c r="I54" s="32" t="s">
        <v>90</v>
      </c>
      <c r="J54" s="22">
        <f>J42-J41</f>
        <v>-9439.6074999999983</v>
      </c>
      <c r="K54" t="e">
        <f t="shared" si="4"/>
        <v>#NUM!</v>
      </c>
    </row>
    <row r="55" spans="1:11">
      <c r="H55" s="4"/>
      <c r="I55" s="32" t="s">
        <v>91</v>
      </c>
      <c r="J55" s="22">
        <f>J37-J36</f>
        <v>3376.8000000000011</v>
      </c>
      <c r="K55">
        <f t="shared" si="4"/>
        <v>3376.8</v>
      </c>
    </row>
    <row r="56" spans="1:11">
      <c r="H56" s="4"/>
      <c r="I56" s="32" t="s">
        <v>95</v>
      </c>
      <c r="J56" s="51">
        <v>16092.562500000005</v>
      </c>
      <c r="K56">
        <f t="shared" si="4"/>
        <v>16092.56</v>
      </c>
    </row>
    <row r="57" spans="1:11">
      <c r="H57" s="6"/>
      <c r="I57" s="18" t="s">
        <v>96</v>
      </c>
      <c r="J57" s="23">
        <f>J54+J56</f>
        <v>6652.9550000000072</v>
      </c>
      <c r="K57">
        <f t="shared" si="4"/>
        <v>6652.96</v>
      </c>
    </row>
    <row r="59" spans="1:11">
      <c r="A59" s="14" t="s">
        <v>117</v>
      </c>
      <c r="B59" s="2" t="s">
        <v>118</v>
      </c>
      <c r="C59" s="61" t="s">
        <v>119</v>
      </c>
      <c r="D59" s="62"/>
      <c r="E59" s="14" t="s">
        <v>120</v>
      </c>
      <c r="F59" s="14" t="s">
        <v>121</v>
      </c>
      <c r="G59" s="14" t="s">
        <v>147</v>
      </c>
    </row>
    <row r="60" spans="1:11">
      <c r="A60" s="13"/>
      <c r="B60" s="7"/>
      <c r="C60" s="63" t="s">
        <v>123</v>
      </c>
      <c r="D60" s="64" t="s">
        <v>124</v>
      </c>
      <c r="E60" s="13"/>
      <c r="F60" s="13"/>
      <c r="G60" s="13" t="s">
        <v>148</v>
      </c>
    </row>
    <row r="61" spans="1:11">
      <c r="A61" s="11">
        <v>1</v>
      </c>
      <c r="B61" s="11">
        <v>2</v>
      </c>
      <c r="C61" s="7">
        <v>3</v>
      </c>
      <c r="D61" s="11">
        <v>4</v>
      </c>
      <c r="E61" s="7">
        <v>5</v>
      </c>
      <c r="F61" s="11">
        <v>6</v>
      </c>
      <c r="G61" s="53">
        <v>7</v>
      </c>
    </row>
    <row r="62" spans="1:11">
      <c r="A62" s="1" t="s">
        <v>125</v>
      </c>
      <c r="B62" s="71"/>
      <c r="C62" s="5"/>
      <c r="D62" s="5"/>
      <c r="E62" s="14"/>
      <c r="F62" s="5"/>
      <c r="G62" s="52"/>
    </row>
    <row r="63" spans="1:11">
      <c r="A63" s="4" t="s">
        <v>126</v>
      </c>
      <c r="B63" s="76" t="s">
        <v>127</v>
      </c>
      <c r="C63" s="67">
        <v>130</v>
      </c>
      <c r="D63" s="37">
        <v>200</v>
      </c>
      <c r="E63" s="78">
        <f>MROUND(D63/C63,0.01)</f>
        <v>1.54</v>
      </c>
      <c r="F63" s="37">
        <v>0.05</v>
      </c>
      <c r="G63" s="65">
        <f>MROUND(E63*F63,0.01)</f>
        <v>0.08</v>
      </c>
    </row>
    <row r="64" spans="1:11">
      <c r="A64" s="4" t="s">
        <v>128</v>
      </c>
      <c r="B64" s="76" t="s">
        <v>129</v>
      </c>
      <c r="C64" s="70">
        <v>11</v>
      </c>
      <c r="D64" s="38">
        <v>26</v>
      </c>
      <c r="E64" s="20">
        <f t="shared" ref="E64:E65" si="5">MROUND(D64/C64,0.01)</f>
        <v>2.36</v>
      </c>
      <c r="F64" s="38">
        <v>0.1</v>
      </c>
      <c r="G64" s="15">
        <f t="shared" ref="G64:G73" si="6">MROUND(E64*F64,0.01)</f>
        <v>0.24</v>
      </c>
    </row>
    <row r="65" spans="1:7">
      <c r="A65" s="72" t="s">
        <v>146</v>
      </c>
      <c r="B65" t="s">
        <v>132</v>
      </c>
      <c r="C65" s="69">
        <v>14</v>
      </c>
      <c r="D65" s="79">
        <v>20</v>
      </c>
      <c r="E65" s="45">
        <f t="shared" si="5"/>
        <v>1.43</v>
      </c>
      <c r="F65" s="79">
        <v>0.1</v>
      </c>
      <c r="G65" s="19">
        <f t="shared" si="6"/>
        <v>0.14000000000000001</v>
      </c>
    </row>
    <row r="66" spans="1:7">
      <c r="A66" s="4" t="s">
        <v>130</v>
      </c>
      <c r="B66" s="76"/>
      <c r="C66" s="12"/>
      <c r="D66" s="25"/>
      <c r="E66" s="73"/>
      <c r="F66" s="5"/>
      <c r="G66" s="73"/>
    </row>
    <row r="67" spans="1:7">
      <c r="A67" s="4" t="s">
        <v>131</v>
      </c>
      <c r="B67" s="76" t="s">
        <v>132</v>
      </c>
      <c r="C67" s="37">
        <v>85</v>
      </c>
      <c r="D67" s="68">
        <v>60</v>
      </c>
      <c r="E67" s="21">
        <f>MROUND(C67/D67,0.01)</f>
        <v>1.42</v>
      </c>
      <c r="F67" s="68">
        <v>0.2</v>
      </c>
      <c r="G67" s="21">
        <f>MROUND(E67*F67,0.01)</f>
        <v>0.28000000000000003</v>
      </c>
    </row>
    <row r="68" spans="1:7">
      <c r="A68" s="72" t="s">
        <v>145</v>
      </c>
      <c r="B68" s="77" t="s">
        <v>135</v>
      </c>
      <c r="C68" s="79">
        <v>9</v>
      </c>
      <c r="D68" s="29">
        <v>5</v>
      </c>
      <c r="E68" s="23">
        <f>MROUND(C68/D68,0.01)</f>
        <v>1.8</v>
      </c>
      <c r="F68" s="29">
        <v>0.25</v>
      </c>
      <c r="G68" s="23">
        <f>MROUND(E68*F68,0.01)</f>
        <v>0.45</v>
      </c>
    </row>
    <row r="69" spans="1:7">
      <c r="A69" s="4" t="s">
        <v>133</v>
      </c>
      <c r="B69" s="76"/>
      <c r="C69" s="73"/>
      <c r="D69" s="25"/>
      <c r="E69" s="73"/>
      <c r="F69" s="25"/>
      <c r="G69" s="73"/>
    </row>
    <row r="70" spans="1:7">
      <c r="A70" s="4" t="s">
        <v>134</v>
      </c>
      <c r="B70" s="76" t="s">
        <v>135</v>
      </c>
      <c r="C70" s="35">
        <v>9</v>
      </c>
      <c r="D70" s="66">
        <v>6</v>
      </c>
      <c r="E70" s="24">
        <f>C70/D70</f>
        <v>1.5</v>
      </c>
      <c r="F70" s="66">
        <v>0.2</v>
      </c>
      <c r="G70" s="24">
        <f>MROUND(E70*F70,0.01)</f>
        <v>0.3</v>
      </c>
    </row>
    <row r="71" spans="1:7">
      <c r="A71" s="4" t="s">
        <v>139</v>
      </c>
      <c r="B71" s="76"/>
      <c r="C71" s="75"/>
      <c r="D71" s="25"/>
      <c r="E71" s="73"/>
      <c r="F71" s="74"/>
      <c r="G71" s="75"/>
    </row>
    <row r="72" spans="1:7">
      <c r="A72" s="6" t="s">
        <v>140</v>
      </c>
      <c r="B72" s="80" t="s">
        <v>132</v>
      </c>
      <c r="C72" s="35">
        <v>95</v>
      </c>
      <c r="D72" s="66">
        <v>80</v>
      </c>
      <c r="E72" s="24">
        <f>C72/D72</f>
        <v>1.1875</v>
      </c>
      <c r="F72" s="66">
        <v>0.1</v>
      </c>
      <c r="G72" s="24">
        <f>MROUND(E72*F72,0.01)</f>
        <v>0.12</v>
      </c>
    </row>
    <row r="73" spans="1:7">
      <c r="A73" s="8" t="s">
        <v>141</v>
      </c>
      <c r="B73" s="47"/>
      <c r="C73" s="9"/>
      <c r="D73" s="9" t="s">
        <v>142</v>
      </c>
      <c r="E73" s="9"/>
      <c r="F73" s="24">
        <f>SUM(F63:F72)</f>
        <v>0.99999999999999989</v>
      </c>
      <c r="G73" s="24">
        <f>SUM(G63:G72)</f>
        <v>1.6099999999999999</v>
      </c>
    </row>
    <row r="74" spans="1:7">
      <c r="F74" t="s">
        <v>144</v>
      </c>
    </row>
  </sheetData>
  <mergeCells count="2">
    <mergeCell ref="D54:E54"/>
    <mergeCell ref="C59:D59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G16"/>
  <sheetViews>
    <sheetView workbookViewId="0">
      <selection activeCell="B19" sqref="B19"/>
    </sheetView>
  </sheetViews>
  <sheetFormatPr defaultRowHeight="15"/>
  <cols>
    <col min="1" max="1" width="36.42578125" customWidth="1"/>
    <col min="2" max="2" width="15.85546875" customWidth="1"/>
    <col min="4" max="4" width="13.28515625" customWidth="1"/>
    <col min="5" max="5" width="21.42578125" customWidth="1"/>
    <col min="6" max="6" width="19.7109375" customWidth="1"/>
    <col min="7" max="7" width="24.85546875" customWidth="1"/>
  </cols>
  <sheetData>
    <row r="1" spans="1:7">
      <c r="A1" t="s">
        <v>117</v>
      </c>
      <c r="B1" t="s">
        <v>118</v>
      </c>
      <c r="C1" t="s">
        <v>119</v>
      </c>
      <c r="E1" t="s">
        <v>120</v>
      </c>
      <c r="F1" t="s">
        <v>121</v>
      </c>
      <c r="G1" t="s">
        <v>122</v>
      </c>
    </row>
    <row r="2" spans="1:7">
      <c r="C2" t="s">
        <v>123</v>
      </c>
      <c r="D2" t="s">
        <v>124</v>
      </c>
    </row>
    <row r="3" spans="1:7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</row>
    <row r="4" spans="1:7">
      <c r="A4" t="s">
        <v>125</v>
      </c>
    </row>
    <row r="5" spans="1:7">
      <c r="A5" t="s">
        <v>126</v>
      </c>
      <c r="B5" t="s">
        <v>127</v>
      </c>
      <c r="C5">
        <v>130</v>
      </c>
      <c r="D5">
        <v>200</v>
      </c>
      <c r="E5">
        <f>MROUND(D5/C5,0.01)</f>
        <v>1.54</v>
      </c>
      <c r="F5">
        <v>0.2</v>
      </c>
      <c r="G5">
        <f>MROUND(E5*F5,0.01)</f>
        <v>0.31</v>
      </c>
    </row>
    <row r="6" spans="1:7">
      <c r="A6" t="s">
        <v>128</v>
      </c>
      <c r="B6" t="s">
        <v>129</v>
      </c>
      <c r="C6">
        <v>11</v>
      </c>
      <c r="D6">
        <v>26</v>
      </c>
      <c r="E6">
        <f t="shared" ref="E6:E15" si="0">MROUND(D6/C6,0.01)</f>
        <v>2.36</v>
      </c>
      <c r="F6">
        <v>0.25</v>
      </c>
      <c r="G6">
        <f t="shared" ref="G6:G15" si="1">MROUND(E6*F6,0.01)</f>
        <v>0.59</v>
      </c>
    </row>
    <row r="7" spans="1:7">
      <c r="A7" t="s">
        <v>130</v>
      </c>
    </row>
    <row r="8" spans="1:7">
      <c r="A8" t="s">
        <v>131</v>
      </c>
      <c r="B8" t="s">
        <v>132</v>
      </c>
      <c r="C8">
        <v>85</v>
      </c>
      <c r="D8">
        <v>80</v>
      </c>
      <c r="E8">
        <f t="shared" si="0"/>
        <v>0.94000000000000006</v>
      </c>
      <c r="F8">
        <v>0.2</v>
      </c>
      <c r="G8">
        <f t="shared" si="1"/>
        <v>0.19</v>
      </c>
    </row>
    <row r="9" spans="1:7">
      <c r="A9" t="s">
        <v>133</v>
      </c>
    </row>
    <row r="10" spans="1:7">
      <c r="A10" t="s">
        <v>134</v>
      </c>
      <c r="B10" t="s">
        <v>135</v>
      </c>
      <c r="C10">
        <v>9</v>
      </c>
      <c r="D10">
        <v>6</v>
      </c>
      <c r="E10">
        <f t="shared" si="0"/>
        <v>0.67</v>
      </c>
      <c r="F10">
        <v>0.2</v>
      </c>
      <c r="G10">
        <f t="shared" si="1"/>
        <v>0.13</v>
      </c>
    </row>
    <row r="11" spans="1:7">
      <c r="A11" t="s">
        <v>136</v>
      </c>
    </row>
    <row r="12" spans="1:7">
      <c r="A12" t="s">
        <v>137</v>
      </c>
      <c r="B12" t="s">
        <v>135</v>
      </c>
      <c r="C12">
        <v>10</v>
      </c>
      <c r="D12">
        <v>7</v>
      </c>
      <c r="E12">
        <f t="shared" si="0"/>
        <v>0.70000000000000007</v>
      </c>
      <c r="F12">
        <v>0.05</v>
      </c>
      <c r="G12">
        <f t="shared" si="1"/>
        <v>0.04</v>
      </c>
    </row>
    <row r="13" spans="1:7">
      <c r="A13" t="s">
        <v>138</v>
      </c>
      <c r="B13" t="s">
        <v>135</v>
      </c>
      <c r="C13">
        <v>10</v>
      </c>
      <c r="D13">
        <v>7</v>
      </c>
      <c r="E13">
        <f t="shared" si="0"/>
        <v>0.70000000000000007</v>
      </c>
      <c r="F13">
        <v>0.1</v>
      </c>
      <c r="G13">
        <f t="shared" si="1"/>
        <v>7.0000000000000007E-2</v>
      </c>
    </row>
    <row r="14" spans="1:7">
      <c r="A14" t="s">
        <v>139</v>
      </c>
    </row>
    <row r="15" spans="1:7">
      <c r="A15" t="s">
        <v>140</v>
      </c>
      <c r="B15" t="s">
        <v>132</v>
      </c>
      <c r="C15">
        <v>95</v>
      </c>
      <c r="D15">
        <v>90</v>
      </c>
      <c r="E15">
        <f t="shared" si="0"/>
        <v>0.95000000000000007</v>
      </c>
      <c r="F15">
        <v>0.1</v>
      </c>
      <c r="G15">
        <f t="shared" si="1"/>
        <v>0.1</v>
      </c>
    </row>
    <row r="16" spans="1:7">
      <c r="A16" t="s">
        <v>141</v>
      </c>
      <c r="D16" t="s">
        <v>142</v>
      </c>
      <c r="F16">
        <v>1</v>
      </c>
      <c r="G16">
        <f>SUM(G5:G15)</f>
        <v>1.43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Krokoz™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Mykola</dc:creator>
  <cp:lastModifiedBy>Mykola</cp:lastModifiedBy>
  <dcterms:created xsi:type="dcterms:W3CDTF">2014-11-12T10:24:17Z</dcterms:created>
  <dcterms:modified xsi:type="dcterms:W3CDTF">2014-11-17T15:23:24Z</dcterms:modified>
</cp:coreProperties>
</file>